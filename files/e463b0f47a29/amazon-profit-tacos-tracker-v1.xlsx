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월별 트래커" sheetId="2" state="visible" r:id="rId2"/>
    <sheet xmlns:r="http://schemas.openxmlformats.org/officeDocument/2006/relationships" name="손익분기 계산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Pretendard"/>
      <b val="1"/>
      <color rgb="001D1D1F"/>
      <sz val="20"/>
    </font>
    <font>
      <name val="Pretendard"/>
      <color rgb="006E6E73"/>
      <sz val="11"/>
    </font>
    <font>
      <name val="Pretendard"/>
      <color rgb="001D1D1F"/>
      <sz val="11"/>
    </font>
    <font>
      <name val="Pretendard"/>
      <b val="1"/>
      <color rgb="00FF6B00"/>
      <sz val="13"/>
    </font>
    <font>
      <name val="Pretendard"/>
      <color rgb="000066CC"/>
      <sz val="10"/>
      <u val="single"/>
    </font>
    <font>
      <name val="Pretendard"/>
      <color rgb="0086868B"/>
      <sz val="9"/>
    </font>
    <font>
      <name val="Pretendard"/>
      <b val="1"/>
      <color rgb="00FFFFFF"/>
      <sz val="10"/>
    </font>
    <font>
      <name val="Pretendard"/>
      <b val="1"/>
      <sz val="10"/>
    </font>
    <font>
      <name val="Pretendard"/>
      <b val="1"/>
      <color rgb="00FF6B00"/>
      <sz val="10"/>
    </font>
    <font>
      <name val="Pretendard"/>
      <b val="1"/>
      <sz val="15"/>
    </font>
    <font>
      <name val="Pretendard"/>
      <color rgb="006E6E73"/>
      <sz val="9"/>
    </font>
    <font>
      <name val="Pretendard"/>
      <b val="1"/>
      <color rgb="00FF6B00"/>
      <sz val="11"/>
    </font>
  </fonts>
  <fills count="5">
    <fill>
      <patternFill/>
    </fill>
    <fill>
      <patternFill patternType="gray125"/>
    </fill>
    <fill>
      <patternFill patternType="solid">
        <fgColor rgb="001D1D1F"/>
      </patternFill>
    </fill>
    <fill>
      <patternFill patternType="solid">
        <fgColor rgb="00FFF7E6"/>
      </patternFill>
    </fill>
    <fill>
      <patternFill patternType="solid">
        <fgColor rgb="00F5F5F7"/>
      </patternFill>
    </fill>
  </fills>
  <borders count="2">
    <border>
      <left/>
      <right/>
      <top/>
      <bottom/>
      <diagonal/>
    </border>
    <border>
      <left style="thin">
        <color rgb="00D2D2D7"/>
      </left>
      <right style="thin">
        <color rgb="00D2D2D7"/>
      </right>
      <top style="thin">
        <color rgb="00D2D2D7"/>
      </top>
      <bottom style="thin">
        <color rgb="00D2D2D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4" fontId="0" fillId="3" borderId="1" pivotButton="0" quotePrefix="0" xfId="0"/>
    <xf numFmtId="164" fontId="0" fillId="4" borderId="1" pivotButton="0" quotePrefix="0" xfId="0"/>
    <xf numFmtId="4" fontId="0" fillId="4" borderId="1" pivotButton="0" quotePrefix="0" xfId="0"/>
    <xf numFmtId="0" fontId="9" fillId="0" borderId="1" applyAlignment="1" pivotButton="0" quotePrefix="0" xfId="0">
      <alignment horizontal="center"/>
    </xf>
    <xf numFmtId="4" fontId="8" fillId="0" borderId="1" pivotButton="0" quotePrefix="0" xfId="0"/>
    <xf numFmtId="164" fontId="8" fillId="0" borderId="1" pivotButton="0" quotePrefix="0" xfId="0"/>
    <xf numFmtId="0" fontId="6" fillId="0" borderId="0" pivotButton="0" quotePrefix="0" xfId="0"/>
    <xf numFmtId="0" fontId="10" fillId="0" borderId="0" pivotButton="0" quotePrefix="0" xfId="0"/>
    <xf numFmtId="0" fontId="3" fillId="0" borderId="0" pivotButton="0" quotePrefix="0" xfId="0"/>
    <xf numFmtId="0" fontId="11" fillId="0" borderId="0" applyAlignment="1" pivotButton="0" quotePrefix="0" xfId="0">
      <alignment vertical="center" wrapText="1"/>
    </xf>
    <xf numFmtId="164" fontId="0" fillId="3" borderId="1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아마존 손익·TACoS 트래커 v1</t>
        </is>
      </c>
    </row>
    <row r="3">
      <c r="B3" s="2" t="inlineStr">
        <is>
          <t>광고비가 이익을 먹고 있는지 월 단위로 확인하는 시트입니다. 아마존 US 한국인 셀러 기준.</t>
        </is>
      </c>
    </row>
    <row r="4">
      <c r="B4" s="3" t="inlineStr"/>
    </row>
    <row r="5">
      <c r="B5" s="4" t="inlineStr">
        <is>
          <t>사용법 3단계</t>
        </is>
      </c>
    </row>
    <row r="6">
      <c r="B6" s="3" t="inlineStr">
        <is>
          <t>1. [월별 트래커] 시트에서 노란색 칸만 채웁니다 — 총매출·광고 매출·광고비·원가·수수료·기타 비용.</t>
        </is>
      </c>
    </row>
    <row r="7">
      <c r="B7" s="3" t="inlineStr">
        <is>
          <t>2. TACoS·ACoS·순이익·순마진율은 자동 계산됩니다 (회색 칸은 수정하지 마세요).</t>
        </is>
      </c>
    </row>
    <row r="8">
      <c r="B8" s="3" t="inlineStr">
        <is>
          <t>3. [손익분기 계산기] 시트에 상품 1개 조건을 넣으면 손익분기 ACoS와 허용 광고비가 나옵니다.</t>
        </is>
      </c>
    </row>
    <row r="9">
      <c r="B9" s="3" t="inlineStr"/>
    </row>
    <row r="10">
      <c r="B10" s="4" t="inlineStr">
        <is>
          <t>TACoS 읽는 법 (일반 참고 기준)</t>
        </is>
      </c>
    </row>
    <row r="11">
      <c r="B11" s="3" t="inlineStr">
        <is>
          <t>TACoS = 광고비 ÷ 총매출. 광고 의존도를 보는 지표라 ACoS보다 계정 전체 체력을 정직하게 보여줍니다.</t>
        </is>
      </c>
    </row>
    <row r="12">
      <c r="B12" s="3" t="inlineStr">
        <is>
          <t>· 10% 미만 — 자연 매출이 받쳐주는 구간. 확장 여지를 검토할 때입니다.</t>
        </is>
      </c>
    </row>
    <row r="13">
      <c r="B13" s="3" t="inlineStr">
        <is>
          <t>· 10~20% — 성장 투자 구간. 추세가 내려가는 중인지가 관건입니다.</t>
        </is>
      </c>
    </row>
    <row r="14">
      <c r="B14" s="3" t="inlineStr">
        <is>
          <t>· 20% 초과 — 광고가 이익을 먹는 구간. 캠페인 구조 점검이 필요합니다.</t>
        </is>
      </c>
    </row>
    <row r="15">
      <c r="B15" s="3" t="inlineStr"/>
    </row>
    <row r="16">
      <c r="B16" s="4" t="inlineStr">
        <is>
          <t>다음 단계</t>
        </is>
      </c>
    </row>
    <row r="17">
      <c r="B17" s="3" t="inlineStr">
        <is>
          <t>내 계정 숫자가 어느 구간인지 확인했다면, 무료 광고 진단으로 낭비 지점을 짚어드립니다:</t>
        </is>
      </c>
    </row>
    <row r="18">
      <c r="B18" s="5" t="inlineStr">
        <is>
          <t>https://howmuchlab.com/growth-lab/audit.html?utm_source=tracker&amp;utm_medium=xlsx&amp;utm_campaign=leadmagnet</t>
        </is>
      </c>
    </row>
    <row r="19">
      <c r="B19" s="3" t="inlineStr"/>
    </row>
    <row r="20">
      <c r="B20" s="6" t="inlineStr">
        <is>
          <t>제작 sysy · howmuchlab.com/growth-lab · 본 자료는 일반 정보 제공 목적이며 특정 계정의 성과를 보장하지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 ht="30" customHeight="1">
      <c r="A2" s="7" t="inlineStr">
        <is>
          <t>월</t>
        </is>
      </c>
      <c r="B2" s="7" t="inlineStr">
        <is>
          <t>총매출($)</t>
        </is>
      </c>
      <c r="C2" s="7" t="inlineStr">
        <is>
          <t>광고 매출($)</t>
        </is>
      </c>
      <c r="D2" s="7" t="inlineStr">
        <is>
          <t>광고비($)</t>
        </is>
      </c>
      <c r="E2" s="7" t="inlineStr">
        <is>
          <t>원가 COGS($)</t>
        </is>
      </c>
      <c r="F2" s="7" t="inlineStr">
        <is>
          <t>리퍼럴 수수료($)</t>
        </is>
      </c>
      <c r="G2" s="7" t="inlineStr">
        <is>
          <t>FBA 수수료($)</t>
        </is>
      </c>
      <c r="H2" s="7" t="inlineStr">
        <is>
          <t>기타 비용($)</t>
        </is>
      </c>
      <c r="I2" s="7" t="inlineStr">
        <is>
          <t>TACoS</t>
        </is>
      </c>
      <c r="J2" s="7" t="inlineStr">
        <is>
          <t>ACoS</t>
        </is>
      </c>
      <c r="K2" s="7" t="inlineStr">
        <is>
          <t>순이익($)</t>
        </is>
      </c>
      <c r="L2" s="7" t="inlineStr">
        <is>
          <t>순마진율</t>
        </is>
      </c>
    </row>
    <row r="3">
      <c r="A3" s="8" t="inlineStr">
        <is>
          <t>1월</t>
        </is>
      </c>
      <c r="B3" s="9" t="n"/>
      <c r="C3" s="9" t="n"/>
      <c r="D3" s="9" t="n"/>
      <c r="E3" s="9" t="n"/>
      <c r="F3" s="9" t="n"/>
      <c r="G3" s="9" t="n"/>
      <c r="H3" s="9" t="n"/>
      <c r="I3" s="10">
        <f>IF(B3=0,"",D3/B3)</f>
        <v/>
      </c>
      <c r="J3" s="10">
        <f>IF(C3=0,"",D3/C3)</f>
        <v/>
      </c>
      <c r="K3" s="11">
        <f>IF(B3=0,"",B3-D3-E3-F3-G3-H3)</f>
        <v/>
      </c>
      <c r="L3" s="10">
        <f>IF(B3=0,"",K3/B3)</f>
        <v/>
      </c>
    </row>
    <row r="4">
      <c r="A4" s="8" t="inlineStr">
        <is>
          <t>2월</t>
        </is>
      </c>
      <c r="B4" s="9" t="n"/>
      <c r="C4" s="9" t="n"/>
      <c r="D4" s="9" t="n"/>
      <c r="E4" s="9" t="n"/>
      <c r="F4" s="9" t="n"/>
      <c r="G4" s="9" t="n"/>
      <c r="H4" s="9" t="n"/>
      <c r="I4" s="10">
        <f>IF(B4=0,"",D4/B4)</f>
        <v/>
      </c>
      <c r="J4" s="10">
        <f>IF(C4=0,"",D4/C4)</f>
        <v/>
      </c>
      <c r="K4" s="11">
        <f>IF(B4=0,"",B4-D4-E4-F4-G4-H4)</f>
        <v/>
      </c>
      <c r="L4" s="10">
        <f>IF(B4=0,"",K4/B4)</f>
        <v/>
      </c>
    </row>
    <row r="5">
      <c r="A5" s="8" t="inlineStr">
        <is>
          <t>3월</t>
        </is>
      </c>
      <c r="B5" s="9" t="n"/>
      <c r="C5" s="9" t="n"/>
      <c r="D5" s="9" t="n"/>
      <c r="E5" s="9" t="n"/>
      <c r="F5" s="9" t="n"/>
      <c r="G5" s="9" t="n"/>
      <c r="H5" s="9" t="n"/>
      <c r="I5" s="10">
        <f>IF(B5=0,"",D5/B5)</f>
        <v/>
      </c>
      <c r="J5" s="10">
        <f>IF(C5=0,"",D5/C5)</f>
        <v/>
      </c>
      <c r="K5" s="11">
        <f>IF(B5=0,"",B5-D5-E5-F5-G5-H5)</f>
        <v/>
      </c>
      <c r="L5" s="10">
        <f>IF(B5=0,"",K5/B5)</f>
        <v/>
      </c>
    </row>
    <row r="6">
      <c r="A6" s="8" t="inlineStr">
        <is>
          <t>4월</t>
        </is>
      </c>
      <c r="B6" s="9" t="n"/>
      <c r="C6" s="9" t="n"/>
      <c r="D6" s="9" t="n"/>
      <c r="E6" s="9" t="n"/>
      <c r="F6" s="9" t="n"/>
      <c r="G6" s="9" t="n"/>
      <c r="H6" s="9" t="n"/>
      <c r="I6" s="10">
        <f>IF(B6=0,"",D6/B6)</f>
        <v/>
      </c>
      <c r="J6" s="10">
        <f>IF(C6=0,"",D6/C6)</f>
        <v/>
      </c>
      <c r="K6" s="11">
        <f>IF(B6=0,"",B6-D6-E6-F6-G6-H6)</f>
        <v/>
      </c>
      <c r="L6" s="10">
        <f>IF(B6=0,"",K6/B6)</f>
        <v/>
      </c>
    </row>
    <row r="7">
      <c r="A7" s="8" t="inlineStr">
        <is>
          <t>5월</t>
        </is>
      </c>
      <c r="B7" s="9" t="n"/>
      <c r="C7" s="9" t="n"/>
      <c r="D7" s="9" t="n"/>
      <c r="E7" s="9" t="n"/>
      <c r="F7" s="9" t="n"/>
      <c r="G7" s="9" t="n"/>
      <c r="H7" s="9" t="n"/>
      <c r="I7" s="10">
        <f>IF(B7=0,"",D7/B7)</f>
        <v/>
      </c>
      <c r="J7" s="10">
        <f>IF(C7=0,"",D7/C7)</f>
        <v/>
      </c>
      <c r="K7" s="11">
        <f>IF(B7=0,"",B7-D7-E7-F7-G7-H7)</f>
        <v/>
      </c>
      <c r="L7" s="10">
        <f>IF(B7=0,"",K7/B7)</f>
        <v/>
      </c>
    </row>
    <row r="8">
      <c r="A8" s="8" t="inlineStr">
        <is>
          <t>6월</t>
        </is>
      </c>
      <c r="B8" s="9" t="n"/>
      <c r="C8" s="9" t="n"/>
      <c r="D8" s="9" t="n"/>
      <c r="E8" s="9" t="n"/>
      <c r="F8" s="9" t="n"/>
      <c r="G8" s="9" t="n"/>
      <c r="H8" s="9" t="n"/>
      <c r="I8" s="10">
        <f>IF(B8=0,"",D8/B8)</f>
        <v/>
      </c>
      <c r="J8" s="10">
        <f>IF(C8=0,"",D8/C8)</f>
        <v/>
      </c>
      <c r="K8" s="11">
        <f>IF(B8=0,"",B8-D8-E8-F8-G8-H8)</f>
        <v/>
      </c>
      <c r="L8" s="10">
        <f>IF(B8=0,"",K8/B8)</f>
        <v/>
      </c>
    </row>
    <row r="9">
      <c r="A9" s="8" t="inlineStr">
        <is>
          <t>7월</t>
        </is>
      </c>
      <c r="B9" s="9" t="n"/>
      <c r="C9" s="9" t="n"/>
      <c r="D9" s="9" t="n"/>
      <c r="E9" s="9" t="n"/>
      <c r="F9" s="9" t="n"/>
      <c r="G9" s="9" t="n"/>
      <c r="H9" s="9" t="n"/>
      <c r="I9" s="10">
        <f>IF(B9=0,"",D9/B9)</f>
        <v/>
      </c>
      <c r="J9" s="10">
        <f>IF(C9=0,"",D9/C9)</f>
        <v/>
      </c>
      <c r="K9" s="11">
        <f>IF(B9=0,"",B9-D9-E9-F9-G9-H9)</f>
        <v/>
      </c>
      <c r="L9" s="10">
        <f>IF(B9=0,"",K9/B9)</f>
        <v/>
      </c>
    </row>
    <row r="10">
      <c r="A10" s="8" t="inlineStr">
        <is>
          <t>8월</t>
        </is>
      </c>
      <c r="B10" s="9" t="n"/>
      <c r="C10" s="9" t="n"/>
      <c r="D10" s="9" t="n"/>
      <c r="E10" s="9" t="n"/>
      <c r="F10" s="9" t="n"/>
      <c r="G10" s="9" t="n"/>
      <c r="H10" s="9" t="n"/>
      <c r="I10" s="10">
        <f>IF(B10=0,"",D10/B10)</f>
        <v/>
      </c>
      <c r="J10" s="10">
        <f>IF(C10=0,"",D10/C10)</f>
        <v/>
      </c>
      <c r="K10" s="11">
        <f>IF(B10=0,"",B10-D10-E10-F10-G10-H10)</f>
        <v/>
      </c>
      <c r="L10" s="10">
        <f>IF(B10=0,"",K10/B10)</f>
        <v/>
      </c>
    </row>
    <row r="11">
      <c r="A11" s="8" t="inlineStr">
        <is>
          <t>9월</t>
        </is>
      </c>
      <c r="B11" s="9" t="n"/>
      <c r="C11" s="9" t="n"/>
      <c r="D11" s="9" t="n"/>
      <c r="E11" s="9" t="n"/>
      <c r="F11" s="9" t="n"/>
      <c r="G11" s="9" t="n"/>
      <c r="H11" s="9" t="n"/>
      <c r="I11" s="10">
        <f>IF(B11=0,"",D11/B11)</f>
        <v/>
      </c>
      <c r="J11" s="10">
        <f>IF(C11=0,"",D11/C11)</f>
        <v/>
      </c>
      <c r="K11" s="11">
        <f>IF(B11=0,"",B11-D11-E11-F11-G11-H11)</f>
        <v/>
      </c>
      <c r="L11" s="10">
        <f>IF(B11=0,"",K11/B11)</f>
        <v/>
      </c>
    </row>
    <row r="12">
      <c r="A12" s="8" t="inlineStr">
        <is>
          <t>10월</t>
        </is>
      </c>
      <c r="B12" s="9" t="n"/>
      <c r="C12" s="9" t="n"/>
      <c r="D12" s="9" t="n"/>
      <c r="E12" s="9" t="n"/>
      <c r="F12" s="9" t="n"/>
      <c r="G12" s="9" t="n"/>
      <c r="H12" s="9" t="n"/>
      <c r="I12" s="10">
        <f>IF(B12=0,"",D12/B12)</f>
        <v/>
      </c>
      <c r="J12" s="10">
        <f>IF(C12=0,"",D12/C12)</f>
        <v/>
      </c>
      <c r="K12" s="11">
        <f>IF(B12=0,"",B12-D12-E12-F12-G12-H12)</f>
        <v/>
      </c>
      <c r="L12" s="10">
        <f>IF(B12=0,"",K12/B12)</f>
        <v/>
      </c>
    </row>
    <row r="13">
      <c r="A13" s="8" t="inlineStr">
        <is>
          <t>11월</t>
        </is>
      </c>
      <c r="B13" s="9" t="n"/>
      <c r="C13" s="9" t="n"/>
      <c r="D13" s="9" t="n"/>
      <c r="E13" s="9" t="n"/>
      <c r="F13" s="9" t="n"/>
      <c r="G13" s="9" t="n"/>
      <c r="H13" s="9" t="n"/>
      <c r="I13" s="10">
        <f>IF(B13=0,"",D13/B13)</f>
        <v/>
      </c>
      <c r="J13" s="10">
        <f>IF(C13=0,"",D13/C13)</f>
        <v/>
      </c>
      <c r="K13" s="11">
        <f>IF(B13=0,"",B13-D13-E13-F13-G13-H13)</f>
        <v/>
      </c>
      <c r="L13" s="10">
        <f>IF(B13=0,"",K13/B13)</f>
        <v/>
      </c>
    </row>
    <row r="14">
      <c r="A14" s="8" t="inlineStr">
        <is>
          <t>12월</t>
        </is>
      </c>
      <c r="B14" s="9" t="n"/>
      <c r="C14" s="9" t="n"/>
      <c r="D14" s="9" t="n"/>
      <c r="E14" s="9" t="n"/>
      <c r="F14" s="9" t="n"/>
      <c r="G14" s="9" t="n"/>
      <c r="H14" s="9" t="n"/>
      <c r="I14" s="10">
        <f>IF(B14=0,"",D14/B14)</f>
        <v/>
      </c>
      <c r="J14" s="10">
        <f>IF(C14=0,"",D14/C14)</f>
        <v/>
      </c>
      <c r="K14" s="11">
        <f>IF(B14=0,"",B14-D14-E14-F14-G14-H14)</f>
        <v/>
      </c>
      <c r="L14" s="10">
        <f>IF(B14=0,"",K14/B14)</f>
        <v/>
      </c>
    </row>
    <row r="15">
      <c r="A15" s="12" t="inlineStr">
        <is>
          <t>합계</t>
        </is>
      </c>
      <c r="B15" s="13">
        <f>SUM(B3:B14)</f>
        <v/>
      </c>
      <c r="C15" s="13">
        <f>SUM(C3:C14)</f>
        <v/>
      </c>
      <c r="D15" s="13">
        <f>SUM(D3:D14)</f>
        <v/>
      </c>
      <c r="E15" s="13">
        <f>SUM(E3:E14)</f>
        <v/>
      </c>
      <c r="F15" s="13">
        <f>SUM(F3:F14)</f>
        <v/>
      </c>
      <c r="G15" s="13">
        <f>SUM(G3:G14)</f>
        <v/>
      </c>
      <c r="H15" s="13">
        <f>SUM(H3:H14)</f>
        <v/>
      </c>
      <c r="I15" s="14">
        <f>IF(B15=0,"",D15/B15)</f>
        <v/>
      </c>
      <c r="J15" s="14">
        <f>IF(C15=0,"",D15/C15)</f>
        <v/>
      </c>
      <c r="K15" s="13">
        <f>IF(B15=0,"",B15-D15-E15-F15-G15-H15)</f>
        <v/>
      </c>
      <c r="L15" s="14">
        <f>IF(B15=0,"",K15/B15)</f>
        <v/>
      </c>
    </row>
    <row r="17">
      <c r="B17" s="15" t="inlineStr">
        <is>
          <t>노란색 = 입력 · 회색 = 자동 계산. 리퍼럴·FBA 수수료는 셀러센트럴 정산 보고서(Payments) 숫자를 그대로 옮기면 됩니다.</t>
        </is>
      </c>
    </row>
  </sheetData>
  <conditionalFormatting sqref="I3:I15">
    <cfRule type="colorScale" priority="1">
      <colorScale>
        <cfvo type="num" val="0.05"/>
        <cfvo type="num" val="0.15"/>
        <cfvo type="num" val="0.25"/>
        <color rgb="0034C759"/>
        <color rgb="00FFCC00"/>
        <color rgb="00FF3B3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60" customWidth="1" min="4" max="4"/>
  </cols>
  <sheetData>
    <row r="2">
      <c r="B2" s="16" t="inlineStr">
        <is>
          <t>상품 1개 기준 손익분기 계산기</t>
        </is>
      </c>
    </row>
    <row r="5">
      <c r="B5" s="17" t="inlineStr">
        <is>
          <t>판매가 ($)</t>
        </is>
      </c>
      <c r="C5" s="9" t="n">
        <v>25</v>
      </c>
      <c r="D5" s="18" t="inlineStr">
        <is>
          <t>아마존 리스팅 판매가</t>
        </is>
      </c>
    </row>
    <row r="6">
      <c r="B6" s="17" t="inlineStr">
        <is>
          <t>원가 COGS ($)</t>
        </is>
      </c>
      <c r="C6" s="9" t="n">
        <v>6</v>
      </c>
      <c r="D6" s="18" t="inlineStr">
        <is>
          <t>제조·매입 원가 + 국제 배송 등 입고까지 비용</t>
        </is>
      </c>
    </row>
    <row r="7">
      <c r="B7" s="17" t="inlineStr">
        <is>
          <t>리퍼럴 수수료율</t>
        </is>
      </c>
      <c r="C7" s="19" t="n">
        <v>0.15</v>
      </c>
      <c r="D7" s="18" t="inlineStr">
        <is>
          <t>카테고리별 상이 — 뷰티는 보통 15%</t>
        </is>
      </c>
    </row>
    <row r="8">
      <c r="B8" s="17" t="inlineStr">
        <is>
          <t>FBA 수수료 ($)</t>
        </is>
      </c>
      <c r="C8" s="9" t="n">
        <v>4.5</v>
      </c>
      <c r="D8" s="18" t="inlineStr">
        <is>
          <t>사이즈·무게별 픽업·포장·배송 수수료</t>
        </is>
      </c>
    </row>
    <row r="9">
      <c r="B9" s="17" t="inlineStr">
        <is>
          <t>기타 비용 ($)</t>
        </is>
      </c>
      <c r="C9" s="9" t="n">
        <v>0.5</v>
      </c>
      <c r="D9" s="18" t="inlineStr">
        <is>
          <t>보관료·반품·프로모션 등 개당 환산</t>
        </is>
      </c>
    </row>
    <row r="10">
      <c r="B10" s="20" t="inlineStr">
        <is>
          <t>광고 전 마진 ($)</t>
        </is>
      </c>
      <c r="C10" s="11">
        <f>C5-C6-C5*C7-C8-C9</f>
        <v/>
      </c>
      <c r="D10" s="18" t="inlineStr">
        <is>
          <t>판매가 − 원가 − 리퍼럴 − FBA − 기타</t>
        </is>
      </c>
    </row>
    <row r="11">
      <c r="B11" s="20" t="inlineStr">
        <is>
          <t>광고 전 마진율</t>
        </is>
      </c>
      <c r="C11" s="10">
        <f>IF(C5=0,"",C10/C5)</f>
        <v/>
      </c>
      <c r="D11" s="18" t="inlineStr">
        <is>
          <t>이 비율이 곧 손익분기 ACoS입니다</t>
        </is>
      </c>
    </row>
    <row r="12">
      <c r="B12" s="20" t="inlineStr">
        <is>
          <t>손익분기 ACoS</t>
        </is>
      </c>
      <c r="C12" s="10">
        <f>IF(C5=0,"",C10/C5)</f>
        <v/>
      </c>
      <c r="D12" s="18" t="inlineStr">
        <is>
          <t>ACoS가 이 값을 넘으면 광고로 판 개당 손해</t>
        </is>
      </c>
    </row>
    <row r="13">
      <c r="B13" s="17" t="inlineStr">
        <is>
          <t>목표 순마진율</t>
        </is>
      </c>
      <c r="C13" s="19" t="n">
        <v>0.1</v>
      </c>
      <c r="D13" s="18" t="inlineStr">
        <is>
          <t>광고 후 남기고 싶은 마진</t>
        </is>
      </c>
    </row>
    <row r="14">
      <c r="B14" s="20" t="inlineStr">
        <is>
          <t>허용 TACoS 상한</t>
        </is>
      </c>
      <c r="C14" s="10">
        <f>IF(C5=0,"",C11-C13)</f>
        <v/>
      </c>
      <c r="D14" s="18" t="inlineStr">
        <is>
          <t>광고 전 마진율 − 목표 마진율. 트래커의 TACoS와 비교하세요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sysy</dc:creator>
  <dc:title xmlns:dc="http://purl.org/dc/elements/1.1/">아마존 손익·TACoS 트래커 v1</dc:title>
  <dcterms:created xmlns:dcterms="http://purl.org/dc/terms/" xmlns:xsi="http://www.w3.org/2001/XMLSchema-instance" xsi:type="dcterms:W3CDTF">2026-08-17T16:20:31Z</dcterms:created>
  <dcterms:modified xmlns:dcterms="http://purl.org/dc/terms/" xmlns:xsi="http://www.w3.org/2001/XMLSchema-instance" xsi:type="dcterms:W3CDTF">2026-08-17T16:20:31Z</dcterms:modified>
  <cp:lastModifiedBy>sysy</cp:lastModifiedBy>
</cp:coreProperties>
</file>